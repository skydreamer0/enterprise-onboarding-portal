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joanne1569\Desktop\"/>
    </mc:Choice>
  </mc:AlternateContent>
  <bookViews>
    <workbookView xWindow="0" yWindow="0" windowWidth="28800" windowHeight="12405"/>
  </bookViews>
  <sheets>
    <sheet name="工作表1" sheetId="1" r:id="rId1"/>
  </sheets>
  <definedNames>
    <definedName name="_xlnm.Print_Area" localSheetId="0">工作表1!$A$1:$N$23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M16" i="1" l="1"/>
  <c r="L16" i="1"/>
  <c r="K16" i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A3" i="1" l="1"/>
  <c r="B23" i="1" l="1"/>
  <c r="B21" i="1"/>
  <c r="N10" i="1" l="1"/>
  <c r="N9" i="1"/>
  <c r="N8" i="1"/>
  <c r="N7" i="1"/>
  <c r="N6" i="1"/>
  <c r="N5" i="1"/>
  <c r="N4" i="1"/>
  <c r="N14" i="1" l="1"/>
  <c r="N13" i="1"/>
  <c r="N12" i="1"/>
  <c r="N11" i="1"/>
</calcChain>
</file>

<file path=xl/sharedStrings.xml><?xml version="1.0" encoding="utf-8"?>
<sst xmlns="http://schemas.openxmlformats.org/spreadsheetml/2006/main" count="51" uniqueCount="49">
  <si>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</si>
  <si>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</si>
  <si>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</si>
  <si>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</si>
  <si>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</si>
  <si>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</si>
  <si>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</si>
  <si>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</si>
  <si>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</si>
  <si>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</si>
  <si>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</si>
  <si>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</si>
  <si>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TTL</t>
  </si>
  <si>
    <t xml:space="preserve">元 </t>
    <phoneticPr fontId="6" type="noConversion"/>
  </si>
  <si>
    <t>預計半年購量：</t>
    <phoneticPr fontId="6" type="noConversion"/>
  </si>
  <si>
    <t>預計半年金額：</t>
    <phoneticPr fontId="6" type="noConversion"/>
  </si>
  <si>
    <t xml:space="preserve">元 </t>
    <phoneticPr fontId="6" type="noConversion"/>
  </si>
  <si>
    <t>醫院：</t>
    <phoneticPr fontId="5" type="noConversion"/>
  </si>
  <si>
    <t>產品：</t>
    <phoneticPr fontId="5" type="noConversion"/>
  </si>
  <si>
    <r>
      <t>Ach%</t>
    </r>
    <r>
      <rPr>
        <sz val="10"/>
        <color theme="1"/>
        <rFont val="微軟正黑體"/>
        <family val="2"/>
        <charset val="136"/>
      </rPr>
      <t xml:space="preserve">
(</t>
    </r>
    <r>
      <rPr>
        <b/>
        <sz val="10"/>
        <color rgb="FFFF0000"/>
        <rFont val="微軟正黑體"/>
        <family val="2"/>
        <charset val="136"/>
      </rPr>
      <t>明</t>
    </r>
    <r>
      <rPr>
        <sz val="10"/>
        <color theme="1"/>
        <rFont val="微軟正黑體"/>
        <family val="2"/>
        <charset val="136"/>
      </rPr>
      <t>年度)</t>
    </r>
    <phoneticPr fontId="5" type="noConversion"/>
  </si>
  <si>
    <r>
      <rPr>
        <sz val="12"/>
        <color theme="1"/>
        <rFont val="微軟正黑體"/>
        <family val="2"/>
        <charset val="136"/>
      </rPr>
      <t>GR%</t>
    </r>
    <r>
      <rPr>
        <sz val="10"/>
        <color theme="1"/>
        <rFont val="微軟正黑體"/>
        <family val="2"/>
        <charset val="136"/>
      </rPr>
      <t xml:space="preserve">
(</t>
    </r>
    <r>
      <rPr>
        <b/>
        <sz val="10"/>
        <color rgb="FFFF0000"/>
        <rFont val="微軟正黑體"/>
        <family val="2"/>
        <charset val="136"/>
      </rPr>
      <t>今</t>
    </r>
    <r>
      <rPr>
        <sz val="10"/>
        <color theme="1"/>
        <rFont val="微軟正黑體"/>
        <family val="2"/>
        <charset val="136"/>
      </rPr>
      <t xml:space="preserve">年度 Vs. </t>
    </r>
    <r>
      <rPr>
        <b/>
        <sz val="10"/>
        <color rgb="FFFF0000"/>
        <rFont val="微軟正黑體"/>
        <family val="2"/>
        <charset val="136"/>
      </rPr>
      <t>去</t>
    </r>
    <r>
      <rPr>
        <sz val="10"/>
        <color theme="1"/>
        <rFont val="微軟正黑體"/>
        <family val="2"/>
        <charset val="136"/>
      </rPr>
      <t>年度)</t>
    </r>
    <phoneticPr fontId="6" type="noConversion"/>
  </si>
  <si>
    <t>預計一年購量：</t>
    <phoneticPr fontId="6" type="noConversion"/>
  </si>
  <si>
    <t>預計一年金額：</t>
    <phoneticPr fontId="6" type="noConversion"/>
  </si>
  <si>
    <r>
      <t>行銷費用預估表－效益預估</t>
    </r>
    <r>
      <rPr>
        <b/>
        <u/>
        <sz val="18"/>
        <color theme="0" tint="-0.499984740745262"/>
        <rFont val="微軟正黑體"/>
        <family val="2"/>
        <charset val="136"/>
      </rPr>
      <t/>
    </r>
    <phoneticPr fontId="6" type="noConversion"/>
  </si>
  <si>
    <r>
      <rPr>
        <sz val="12"/>
        <color theme="1"/>
        <rFont val="微軟正黑體"/>
        <family val="2"/>
        <charset val="136"/>
      </rPr>
      <t>GR%</t>
    </r>
    <r>
      <rPr>
        <sz val="10"/>
        <color theme="1"/>
        <rFont val="微軟正黑體"/>
        <family val="2"/>
        <charset val="136"/>
      </rPr>
      <t xml:space="preserve">
(</t>
    </r>
    <r>
      <rPr>
        <b/>
        <sz val="10"/>
        <color rgb="FFFF0000"/>
        <rFont val="微軟正黑體"/>
        <family val="2"/>
        <charset val="136"/>
      </rPr>
      <t>明</t>
    </r>
    <r>
      <rPr>
        <sz val="10"/>
        <color theme="1"/>
        <rFont val="微軟正黑體"/>
        <family val="2"/>
        <charset val="136"/>
      </rPr>
      <t xml:space="preserve">年度 Vs. </t>
    </r>
    <r>
      <rPr>
        <b/>
        <sz val="10"/>
        <color rgb="FFFF0000"/>
        <rFont val="微軟正黑體"/>
        <family val="2"/>
        <charset val="136"/>
      </rPr>
      <t>今</t>
    </r>
    <r>
      <rPr>
        <sz val="10"/>
        <color theme="1"/>
        <rFont val="微軟正黑體"/>
        <family val="2"/>
        <charset val="136"/>
      </rPr>
      <t>年度)</t>
    </r>
    <phoneticPr fontId="6" type="noConversion"/>
  </si>
  <si>
    <t>售價：</t>
    <phoneticPr fontId="6" type="noConversion"/>
  </si>
  <si>
    <t>活動前半年均量：</t>
    <phoneticPr fontId="5" type="noConversion"/>
  </si>
  <si>
    <r>
      <rPr>
        <b/>
        <sz val="12"/>
        <color rgb="FFFF0000"/>
        <rFont val="微軟正黑體"/>
        <family val="2"/>
        <charset val="136"/>
      </rPr>
      <t>去</t>
    </r>
    <r>
      <rPr>
        <sz val="12"/>
        <color theme="1"/>
        <rFont val="微軟正黑體"/>
        <family val="2"/>
        <charset val="136"/>
      </rPr>
      <t>年度-Actual</t>
    </r>
    <phoneticPr fontId="6" type="noConversion"/>
  </si>
  <si>
    <r>
      <rPr>
        <b/>
        <sz val="12"/>
        <color rgb="FFFF0000"/>
        <rFont val="微軟正黑體"/>
        <family val="2"/>
        <charset val="136"/>
      </rPr>
      <t>今</t>
    </r>
    <r>
      <rPr>
        <sz val="12"/>
        <color theme="1"/>
        <rFont val="微軟正黑體"/>
        <family val="2"/>
        <charset val="136"/>
      </rPr>
      <t>年度-Actual</t>
    </r>
    <phoneticPr fontId="6" type="noConversion"/>
  </si>
  <si>
    <r>
      <rPr>
        <b/>
        <sz val="12"/>
        <color rgb="FFFF0000"/>
        <rFont val="微軟正黑體"/>
        <family val="2"/>
        <charset val="136"/>
      </rPr>
      <t>今</t>
    </r>
    <r>
      <rPr>
        <sz val="12"/>
        <color theme="1"/>
        <rFont val="微軟正黑體"/>
        <family val="2"/>
        <charset val="136"/>
      </rPr>
      <t>年度-Forecast</t>
    </r>
    <phoneticPr fontId="6" type="noConversion"/>
  </si>
  <si>
    <r>
      <rPr>
        <b/>
        <sz val="12"/>
        <color rgb="FFFF0000"/>
        <rFont val="微軟正黑體"/>
        <family val="2"/>
        <charset val="136"/>
      </rPr>
      <t>明</t>
    </r>
    <r>
      <rPr>
        <sz val="12"/>
        <color theme="1"/>
        <rFont val="微軟正黑體"/>
        <family val="2"/>
        <charset val="136"/>
      </rPr>
      <t>年度-Forecast</t>
    </r>
    <phoneticPr fontId="5" type="noConversion"/>
  </si>
  <si>
    <r>
      <rPr>
        <b/>
        <sz val="12"/>
        <color rgb="FFFF0000"/>
        <rFont val="微軟正黑體"/>
        <family val="2"/>
        <charset val="136"/>
      </rPr>
      <t>後</t>
    </r>
    <r>
      <rPr>
        <sz val="12"/>
        <color theme="1"/>
        <rFont val="微軟正黑體"/>
        <family val="2"/>
        <charset val="136"/>
      </rPr>
      <t>年度-Forecast</t>
    </r>
    <phoneticPr fontId="5" type="noConversion"/>
  </si>
  <si>
    <r>
      <rPr>
        <b/>
        <sz val="12"/>
        <color rgb="FFFF0000"/>
        <rFont val="微軟正黑體"/>
        <family val="2"/>
        <charset val="136"/>
      </rPr>
      <t>今</t>
    </r>
    <r>
      <rPr>
        <sz val="12"/>
        <color theme="1"/>
        <rFont val="微軟正黑體"/>
        <family val="2"/>
        <charset val="136"/>
      </rPr>
      <t>年度-Target</t>
    </r>
    <phoneticPr fontId="6" type="noConversion"/>
  </si>
  <si>
    <r>
      <rPr>
        <b/>
        <sz val="12"/>
        <color rgb="FFFF0000"/>
        <rFont val="微軟正黑體"/>
        <family val="2"/>
        <charset val="136"/>
      </rPr>
      <t>明</t>
    </r>
    <r>
      <rPr>
        <sz val="12"/>
        <color theme="1"/>
        <rFont val="微軟正黑體"/>
        <family val="2"/>
        <charset val="136"/>
      </rPr>
      <t>年度-Target</t>
    </r>
    <phoneticPr fontId="6" type="noConversion"/>
  </si>
  <si>
    <r>
      <t>Ach%</t>
    </r>
    <r>
      <rPr>
        <sz val="10"/>
        <color theme="1"/>
        <rFont val="微軟正黑體"/>
        <family val="2"/>
        <charset val="136"/>
      </rPr>
      <t xml:space="preserve">
(</t>
    </r>
    <r>
      <rPr>
        <b/>
        <sz val="10"/>
        <color rgb="FFFF0000"/>
        <rFont val="微軟正黑體"/>
        <family val="2"/>
        <charset val="136"/>
      </rPr>
      <t>今</t>
    </r>
    <r>
      <rPr>
        <sz val="10"/>
        <color theme="1"/>
        <rFont val="微軟正黑體"/>
        <family val="2"/>
        <charset val="136"/>
      </rPr>
      <t>年度)</t>
    </r>
    <phoneticPr fontId="5" type="noConversion"/>
  </si>
  <si>
    <t>若提及進藥相關事宜，請填寫已完成／預計完成之相關日程（送件日、開會日、採購日）與補充說明：</t>
    <phoneticPr fontId="5" type="noConversion"/>
  </si>
  <si>
    <r>
      <rPr>
        <b/>
        <sz val="10"/>
        <color theme="1"/>
        <rFont val="HP Simplified Jpan"/>
        <family val="2"/>
        <charset val="136"/>
      </rPr>
      <t>←</t>
    </r>
    <r>
      <rPr>
        <b/>
        <sz val="10"/>
        <color theme="1"/>
        <rFont val="微軟正黑體"/>
        <family val="2"/>
        <charset val="136"/>
      </rPr>
      <t>請自行填入產品的單位</t>
    </r>
    <phoneticPr fontId="5" type="noConversion"/>
  </si>
  <si>
    <t>備註：</t>
    <phoneticPr fontId="5" type="noConversion"/>
  </si>
  <si>
    <t>：其他需填寫項目</t>
    <phoneticPr fontId="5" type="noConversion"/>
  </si>
  <si>
    <r>
      <t>【註1】Forecast請填入活動月份起算六個月之業績
【註2】若活動日</t>
    </r>
    <r>
      <rPr>
        <b/>
        <u/>
        <sz val="12"/>
        <color theme="1"/>
        <rFont val="微軟正黑體"/>
        <family val="2"/>
        <charset val="136"/>
      </rPr>
      <t>之前</t>
    </r>
    <r>
      <rPr>
        <sz val="12"/>
        <color theme="1"/>
        <rFont val="微軟正黑體"/>
        <family val="2"/>
        <charset val="136"/>
      </rPr>
      <t>的月份尚未有Actual，請填0
【註3】請確實填入估算產品之單位，以利後續確認
【註4】六個月的Forecast為必填，一年的則依主管要求
【註5】各色代表意義</t>
    </r>
    <phoneticPr fontId="5" type="noConversion"/>
  </si>
  <si>
    <t>：目標業績Target</t>
    <phoneticPr fontId="5" type="noConversion"/>
  </si>
  <si>
    <t>：預估業績Forecast</t>
    <phoneticPr fontId="5" type="noConversion"/>
  </si>
  <si>
    <t>：實際業績Actual</t>
    <phoneticPr fontId="5" type="noConversion"/>
  </si>
  <si>
    <r>
      <rPr>
        <b/>
        <sz val="10"/>
        <color theme="0" tint="-0.499984740745262"/>
        <rFont val="HP Simplified Jpan"/>
        <family val="2"/>
        <charset val="136"/>
      </rPr>
      <t>←</t>
    </r>
    <r>
      <rPr>
        <b/>
        <sz val="10"/>
        <color theme="0" tint="-0.499984740745262"/>
        <rFont val="微軟正黑體"/>
        <family val="2"/>
        <charset val="136"/>
      </rPr>
      <t>會自動帶入D19的單位</t>
    </r>
    <phoneticPr fontId="5" type="noConversion"/>
  </si>
  <si>
    <r>
      <rPr>
        <sz val="12"/>
        <color theme="1"/>
        <rFont val="微軟正黑體"/>
        <family val="2"/>
        <charset val="136"/>
      </rPr>
      <t xml:space="preserve">GR% </t>
    </r>
    <r>
      <rPr>
        <sz val="10"/>
        <color theme="1"/>
        <rFont val="微軟正黑體"/>
        <family val="2"/>
        <charset val="136"/>
      </rPr>
      <t xml:space="preserve">
(</t>
    </r>
    <r>
      <rPr>
        <b/>
        <sz val="10"/>
        <color rgb="FFFF0000"/>
        <rFont val="微軟正黑體"/>
        <family val="2"/>
        <charset val="136"/>
      </rPr>
      <t>今</t>
    </r>
    <r>
      <rPr>
        <sz val="10"/>
        <color theme="1"/>
        <rFont val="微軟正黑體"/>
        <family val="2"/>
        <charset val="136"/>
      </rPr>
      <t>年度 Vs. 活動前半年月均量)</t>
    </r>
    <phoneticPr fontId="6" type="noConversion"/>
  </si>
  <si>
    <r>
      <rPr>
        <sz val="12"/>
        <color theme="1"/>
        <rFont val="微軟正黑體"/>
        <family val="2"/>
        <charset val="136"/>
      </rPr>
      <t xml:space="preserve">GR% </t>
    </r>
    <r>
      <rPr>
        <sz val="10"/>
        <color theme="1"/>
        <rFont val="微軟正黑體"/>
        <family val="2"/>
        <charset val="136"/>
      </rPr>
      <t xml:space="preserve">
(</t>
    </r>
    <r>
      <rPr>
        <b/>
        <sz val="10"/>
        <color rgb="FFFF0000"/>
        <rFont val="微軟正黑體"/>
        <family val="2"/>
        <charset val="136"/>
      </rPr>
      <t>明</t>
    </r>
    <r>
      <rPr>
        <sz val="10"/>
        <color theme="1"/>
        <rFont val="微軟正黑體"/>
        <family val="2"/>
        <charset val="136"/>
      </rPr>
      <t>年度 Vs. 活動前半年月均量)</t>
    </r>
    <phoneticPr fontId="6" type="noConversion"/>
  </si>
  <si>
    <t>（如有相關說明，請於本欄位編輯填寫）</t>
    <phoneticPr fontId="5" type="noConversion"/>
  </si>
  <si>
    <t>（請填寫產品全名）</t>
    <phoneticPr fontId="5" type="noConversion"/>
  </si>
  <si>
    <t>（請填寫中文全名）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</si>
</sst>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21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u/>
      <sz val="18"/>
      <color theme="0" tint="-0.499984740745262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HP Simplified Jpan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10"/>
      <color theme="0" tint="-0.499984740745262"/>
      <name val="微軟正黑體"/>
      <family val="2"/>
      <charset val="136"/>
    </font>
    <font>
      <b/>
      <sz val="10"/>
      <color theme="0" tint="-0.499984740745262"/>
      <name val="HP Simplified Jpan"/>
      <family val="2"/>
      <charset val="136"/>
    </font>
    <font>
      <b/>
      <sz val="12"/>
      <color theme="0" tint="-0.499984740745262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6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76" fontId="11" fillId="2" borderId="1" xfId="1" applyNumberFormat="1" applyFont="1" applyFill="1" applyBorder="1" applyProtection="1">
      <alignment vertical="center"/>
      <protection locked="0"/>
    </xf>
    <xf numFmtId="176" fontId="11" fillId="5" borderId="1" xfId="1" applyNumberFormat="1" applyFont="1" applyFill="1" applyBorder="1" applyProtection="1">
      <alignment vertical="center"/>
      <protection locked="0"/>
    </xf>
    <xf numFmtId="176" fontId="11" fillId="3" borderId="1" xfId="1" applyNumberFormat="1" applyFont="1" applyFill="1" applyBorder="1" applyProtection="1">
      <alignment vertical="center"/>
      <protection locked="0"/>
    </xf>
    <xf numFmtId="9" fontId="1" fillId="0" borderId="1" xfId="2" applyFont="1" applyBorder="1" applyProtection="1">
      <alignment vertical="center"/>
    </xf>
    <xf numFmtId="0" fontId="2" fillId="0" borderId="0" xfId="0" applyFont="1" applyBorder="1" applyAlignment="1" applyProtection="1">
      <alignment horizontal="left" vertical="center"/>
    </xf>
    <xf numFmtId="0" fontId="2" fillId="7" borderId="0" xfId="0" applyFont="1" applyFill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0" fontId="2" fillId="4" borderId="1" xfId="0" applyFont="1" applyFill="1" applyBorder="1" applyAlignment="1" applyProtection="1">
      <alignment vertical="center"/>
      <protection locked="0"/>
    </xf>
    <xf numFmtId="0" fontId="12" fillId="7" borderId="0" xfId="0" applyFont="1" applyFill="1" applyBorder="1" applyAlignment="1" applyProtection="1">
      <alignment horizontal="right" vertical="center"/>
    </xf>
    <xf numFmtId="176" fontId="11" fillId="6" borderId="1" xfId="1" applyNumberFormat="1" applyFont="1" applyFill="1" applyBorder="1" applyProtection="1">
      <alignment vertical="center"/>
    </xf>
    <xf numFmtId="176" fontId="11" fillId="8" borderId="1" xfId="1" applyNumberFormat="1" applyFont="1" applyFill="1" applyBorder="1" applyProtection="1">
      <alignment vertical="center"/>
    </xf>
    <xf numFmtId="176" fontId="11" fillId="9" borderId="1" xfId="1" applyNumberFormat="1" applyFont="1" applyFill="1" applyBorder="1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7" fillId="0" borderId="0" xfId="0" applyFont="1" applyProtection="1">
      <alignment vertical="center"/>
    </xf>
    <xf numFmtId="0" fontId="1" fillId="0" borderId="0" xfId="0" applyFont="1" applyProtection="1">
      <alignment vertical="center"/>
    </xf>
    <xf numFmtId="0" fontId="0" fillId="6" borderId="1" xfId="0" applyFont="1" applyFill="1" applyBorder="1" applyAlignment="1" applyProtection="1">
      <alignment horizontal="left" vertical="center" indent="1"/>
    </xf>
    <xf numFmtId="0" fontId="0" fillId="8" borderId="1" xfId="0" applyFont="1" applyFill="1" applyBorder="1" applyAlignment="1" applyProtection="1">
      <alignment horizontal="left" vertical="center" indent="1"/>
    </xf>
    <xf numFmtId="0" fontId="0" fillId="9" borderId="1" xfId="0" applyFont="1" applyFill="1" applyBorder="1" applyAlignment="1" applyProtection="1">
      <alignment horizontal="left" vertical="center" indent="1"/>
    </xf>
    <xf numFmtId="0" fontId="0" fillId="0" borderId="1" xfId="0" applyFont="1" applyBorder="1" applyAlignment="1" applyProtection="1">
      <alignment horizontal="left" vertical="center" wrapText="1" indent="1"/>
    </xf>
    <xf numFmtId="0" fontId="8" fillId="0" borderId="1" xfId="0" applyFont="1" applyBorder="1" applyAlignment="1" applyProtection="1">
      <alignment horizontal="left" vertical="center" wrapText="1" indent="1"/>
    </xf>
    <xf numFmtId="0" fontId="2" fillId="0" borderId="1" xfId="0" applyFont="1" applyBorder="1" applyAlignment="1" applyProtection="1">
      <alignment horizontal="left" vertical="center" wrapText="1" indent="1"/>
    </xf>
    <xf numFmtId="0" fontId="2" fillId="7" borderId="1" xfId="0" applyFont="1" applyFill="1" applyBorder="1" applyAlignment="1" applyProtection="1">
      <alignment horizontal="left" vertical="center" wrapText="1" indent="1"/>
    </xf>
    <xf numFmtId="0" fontId="13" fillId="7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/>
    </xf>
    <xf numFmtId="0" fontId="0" fillId="2" borderId="0" xfId="0" applyFont="1" applyFill="1" applyAlignment="1" applyProtection="1">
      <alignment vertical="center" wrapText="1"/>
    </xf>
    <xf numFmtId="0" fontId="0" fillId="5" borderId="0" xfId="0" applyFont="1" applyFill="1" applyAlignment="1" applyProtection="1">
      <alignment vertical="top" wrapText="1"/>
    </xf>
    <xf numFmtId="0" fontId="0" fillId="3" borderId="0" xfId="0" applyFont="1" applyFill="1" applyAlignment="1" applyProtection="1">
      <alignment vertical="top" wrapText="1"/>
    </xf>
    <xf numFmtId="0" fontId="0" fillId="4" borderId="0" xfId="0" applyFont="1" applyFill="1" applyAlignment="1" applyProtection="1">
      <alignment vertical="top" wrapText="1"/>
    </xf>
    <xf numFmtId="0" fontId="2" fillId="0" borderId="0" xfId="0" applyFont="1" applyFill="1" applyBorder="1" applyAlignment="1" applyProtection="1">
      <alignment vertical="center"/>
    </xf>
    <xf numFmtId="0" fontId="16" fillId="0" borderId="0" xfId="0" applyFont="1" applyFill="1" applyBorder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20" fillId="4" borderId="0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 wrapText="1"/>
    </xf>
    <xf numFmtId="176" fontId="1" fillId="4" borderId="1" xfId="1" applyNumberFormat="1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left" vertical="top"/>
      <protection locked="0"/>
    </xf>
    <xf numFmtId="0" fontId="2" fillId="4" borderId="1" xfId="0" applyFont="1" applyFill="1" applyBorder="1" applyAlignment="1" applyProtection="1">
      <alignment horizontal="left" vertical="top"/>
      <protection locked="0"/>
    </xf>
    <xf numFmtId="0" fontId="2" fillId="7" borderId="1" xfId="0" applyFont="1" applyFill="1" applyBorder="1" applyAlignment="1" applyProtection="1">
      <alignment horizontal="left" vertical="center" indent="1"/>
    </xf>
    <xf numFmtId="176" fontId="1" fillId="0" borderId="1" xfId="1" applyNumberFormat="1" applyFont="1" applyBorder="1" applyAlignment="1" applyProtection="1">
      <alignment horizontal="center" vertical="center"/>
    </xf>
    <xf numFmtId="0" fontId="0" fillId="0" borderId="0" xfId="0" applyFont="1" applyAlignment="1" applyProtection="1">
      <alignment horizontal="left" vertical="center" wrapText="1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離子">
  <a:themeElements>
    <a:clrScheme name="離子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離子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離子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showGridLines="0" tabSelected="1" zoomScale="86" zoomScaleNormal="86" workbookViewId="0">
      <selection activeCell="M9" sqref="M9"/>
    </sheetView>
  </sheetViews>
  <sheetFormatPr defaultColWidth="7.88671875" defaultRowHeight="15.75" x14ac:dyDescent="0.25"/>
  <cols>
    <col min="1" max="1" width="22.77734375" style="16" customWidth="1"/>
    <col min="2" max="13" width="10.77734375" style="16" customWidth="1"/>
    <col min="14" max="14" width="20.77734375" style="16" customWidth="1"/>
    <col min="15" max="16384" width="7.88671875" style="16"/>
  </cols>
  <sheetData>
    <row r="1" spans="1:21" s="15" customFormat="1" ht="30" customHeight="1" x14ac:dyDescent="0.25">
      <c r="A1" s="34" t="s">
        <v>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21" s="15" customFormat="1" ht="30" customHeight="1" x14ac:dyDescent="0.25">
      <c r="A2" s="10" t="s">
        <v>17</v>
      </c>
      <c r="B2" s="33" t="s">
        <v>48</v>
      </c>
      <c r="C2" s="33"/>
      <c r="D2" s="33"/>
      <c r="E2" s="33"/>
      <c r="F2" s="33"/>
      <c r="G2" s="33"/>
      <c r="H2" s="10" t="s">
        <v>18</v>
      </c>
      <c r="I2" s="33" t="s">
        <v>47</v>
      </c>
      <c r="J2" s="33"/>
      <c r="K2" s="33"/>
      <c r="L2" s="33"/>
      <c r="M2" s="33"/>
      <c r="N2" s="33"/>
    </row>
    <row r="3" spans="1:21" ht="30" customHeight="1" x14ac:dyDescent="0.3">
      <c r="A3" s="14">
        <f>D19</f>
        <v>0</v>
      </c>
      <c r="B3" s="14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K3" s="14" t="s">
        <v>9</v>
      </c>
      <c r="L3" s="14" t="s">
        <v>10</v>
      </c>
      <c r="M3" s="14" t="s">
        <v>11</v>
      </c>
      <c r="N3" s="14" t="s">
        <v>12</v>
      </c>
      <c r="P3" s="25" t="s">
        <v>37</v>
      </c>
    </row>
    <row r="4" spans="1:21" ht="30" customHeight="1" x14ac:dyDescent="0.25">
      <c r="A4" s="17" t="s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1">
        <f>SUM(B4:M4)</f>
        <v>0</v>
      </c>
      <c r="P4" s="41" t="s">
        <v>39</v>
      </c>
      <c r="Q4" s="41"/>
      <c r="R4" s="41"/>
      <c r="S4" s="41"/>
      <c r="T4" s="41"/>
      <c r="U4" s="41"/>
    </row>
    <row r="5" spans="1:21" ht="30" customHeight="1" x14ac:dyDescent="0.25">
      <c r="A5" s="17" t="s">
        <v>28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1">
        <f t="shared" ref="N5:N10" si="0">SUM(B5:M5)</f>
        <v>0</v>
      </c>
      <c r="P5" s="41"/>
      <c r="Q5" s="41"/>
      <c r="R5" s="41"/>
      <c r="S5" s="41"/>
      <c r="T5" s="41"/>
      <c r="U5" s="41"/>
    </row>
    <row r="6" spans="1:21" ht="30" customHeight="1" x14ac:dyDescent="0.25">
      <c r="A6" s="18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2">
        <f t="shared" si="0"/>
        <v>0</v>
      </c>
      <c r="P6" s="41"/>
      <c r="Q6" s="41"/>
      <c r="R6" s="41"/>
      <c r="S6" s="41"/>
      <c r="T6" s="41"/>
      <c r="U6" s="41"/>
    </row>
    <row r="7" spans="1:21" ht="30" customHeight="1" x14ac:dyDescent="0.25">
      <c r="A7" s="18" t="s">
        <v>30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2">
        <f t="shared" si="0"/>
        <v>0</v>
      </c>
      <c r="P7" s="26"/>
      <c r="Q7" s="41" t="s">
        <v>42</v>
      </c>
      <c r="R7" s="41"/>
      <c r="S7" s="41"/>
      <c r="T7" s="41"/>
      <c r="U7" s="41"/>
    </row>
    <row r="8" spans="1:21" ht="30" customHeight="1" x14ac:dyDescent="0.25">
      <c r="A8" s="18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2">
        <f t="shared" si="0"/>
        <v>0</v>
      </c>
      <c r="P8" s="27"/>
      <c r="Q8" s="41" t="s">
        <v>41</v>
      </c>
      <c r="R8" s="41"/>
      <c r="S8" s="41"/>
      <c r="T8" s="41"/>
      <c r="U8" s="41"/>
    </row>
    <row r="9" spans="1:21" ht="30" customHeight="1" x14ac:dyDescent="0.25">
      <c r="A9" s="19" t="s">
        <v>32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3">
        <f t="shared" si="0"/>
        <v>0</v>
      </c>
      <c r="P9" s="28"/>
      <c r="Q9" s="41" t="s">
        <v>40</v>
      </c>
      <c r="R9" s="41"/>
      <c r="S9" s="41"/>
      <c r="T9" s="41"/>
      <c r="U9" s="41"/>
    </row>
    <row r="10" spans="1:21" ht="30" customHeight="1" x14ac:dyDescent="0.25">
      <c r="A10" s="19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3">
        <f t="shared" si="0"/>
        <v>0</v>
      </c>
      <c r="P10" s="29"/>
      <c r="Q10" s="41" t="s">
        <v>38</v>
      </c>
      <c r="R10" s="41"/>
      <c r="S10" s="41"/>
      <c r="T10" s="41"/>
      <c r="U10" s="41"/>
    </row>
    <row r="11" spans="1:21" ht="30" customHeight="1" x14ac:dyDescent="0.25">
      <c r="A11" s="20" t="s">
        <v>34</v>
      </c>
      <c r="B11" s="4" t="str">
        <f t="shared" ref="B11:N12" si="1">IFERROR((B5+B6)/B9,"")</f>
        <v/>
      </c>
      <c r="C11" s="4" t="str">
        <f t="shared" si="1"/>
        <v/>
      </c>
      <c r="D11" s="4" t="str">
        <f t="shared" si="1"/>
        <v/>
      </c>
      <c r="E11" s="4" t="str">
        <f t="shared" si="1"/>
        <v/>
      </c>
      <c r="F11" s="4" t="str">
        <f t="shared" si="1"/>
        <v/>
      </c>
      <c r="G11" s="4" t="str">
        <f t="shared" si="1"/>
        <v/>
      </c>
      <c r="H11" s="4" t="str">
        <f t="shared" si="1"/>
        <v/>
      </c>
      <c r="I11" s="4" t="str">
        <f t="shared" si="1"/>
        <v/>
      </c>
      <c r="J11" s="4" t="str">
        <f t="shared" si="1"/>
        <v/>
      </c>
      <c r="K11" s="4" t="str">
        <f t="shared" si="1"/>
        <v/>
      </c>
      <c r="L11" s="4" t="str">
        <f t="shared" si="1"/>
        <v/>
      </c>
      <c r="M11" s="4" t="str">
        <f t="shared" si="1"/>
        <v/>
      </c>
      <c r="N11" s="4" t="str">
        <f t="shared" si="1"/>
        <v/>
      </c>
    </row>
    <row r="12" spans="1:21" ht="30" customHeight="1" x14ac:dyDescent="0.25">
      <c r="A12" s="20" t="s">
        <v>19</v>
      </c>
      <c r="B12" s="4" t="str">
        <f t="shared" si="1"/>
        <v/>
      </c>
      <c r="C12" s="4" t="str">
        <f t="shared" si="1"/>
        <v/>
      </c>
      <c r="D12" s="4" t="str">
        <f t="shared" si="1"/>
        <v/>
      </c>
      <c r="E12" s="4" t="str">
        <f t="shared" si="1"/>
        <v/>
      </c>
      <c r="F12" s="4" t="str">
        <f t="shared" si="1"/>
        <v/>
      </c>
      <c r="G12" s="4" t="str">
        <f t="shared" si="1"/>
        <v/>
      </c>
      <c r="H12" s="4" t="str">
        <f t="shared" si="1"/>
        <v/>
      </c>
      <c r="I12" s="4" t="str">
        <f t="shared" si="1"/>
        <v/>
      </c>
      <c r="J12" s="4" t="str">
        <f t="shared" si="1"/>
        <v/>
      </c>
      <c r="K12" s="4" t="str">
        <f t="shared" si="1"/>
        <v/>
      </c>
      <c r="L12" s="4" t="str">
        <f t="shared" si="1"/>
        <v/>
      </c>
      <c r="M12" s="4" t="str">
        <f t="shared" si="1"/>
        <v/>
      </c>
      <c r="N12" s="4" t="str">
        <f t="shared" si="1"/>
        <v/>
      </c>
    </row>
    <row r="13" spans="1:21" ht="30" customHeight="1" x14ac:dyDescent="0.25">
      <c r="A13" s="21" t="s">
        <v>20</v>
      </c>
      <c r="B13" s="4" t="str">
        <f>IFERROR((B5+B6)/B4-1,"")</f>
        <v/>
      </c>
      <c r="C13" s="4" t="str">
        <f t="shared" ref="C13:N13" si="2">IFERROR((C5+C6)/C4-1,"")</f>
        <v/>
      </c>
      <c r="D13" s="4" t="str">
        <f t="shared" si="2"/>
        <v/>
      </c>
      <c r="E13" s="4" t="str">
        <f t="shared" si="2"/>
        <v/>
      </c>
      <c r="F13" s="4" t="str">
        <f t="shared" si="2"/>
        <v/>
      </c>
      <c r="G13" s="4" t="str">
        <f t="shared" si="2"/>
        <v/>
      </c>
      <c r="H13" s="4" t="str">
        <f t="shared" si="2"/>
        <v/>
      </c>
      <c r="I13" s="4" t="str">
        <f t="shared" si="2"/>
        <v/>
      </c>
      <c r="J13" s="4" t="str">
        <f t="shared" si="2"/>
        <v/>
      </c>
      <c r="K13" s="4" t="str">
        <f t="shared" si="2"/>
        <v/>
      </c>
      <c r="L13" s="4" t="str">
        <f t="shared" si="2"/>
        <v/>
      </c>
      <c r="M13" s="4" t="str">
        <f t="shared" si="2"/>
        <v/>
      </c>
      <c r="N13" s="4" t="str">
        <f t="shared" si="2"/>
        <v/>
      </c>
    </row>
    <row r="14" spans="1:21" ht="30" customHeight="1" x14ac:dyDescent="0.25">
      <c r="A14" s="21" t="s">
        <v>24</v>
      </c>
      <c r="B14" s="4" t="str">
        <f>IFERROR(B7/(B5+B6)-1,"")</f>
        <v/>
      </c>
      <c r="C14" s="4" t="str">
        <f t="shared" ref="C14:N14" si="3">IFERROR(C7/(C5+C6)-1,"")</f>
        <v/>
      </c>
      <c r="D14" s="4" t="str">
        <f t="shared" si="3"/>
        <v/>
      </c>
      <c r="E14" s="4" t="str">
        <f t="shared" si="3"/>
        <v/>
      </c>
      <c r="F14" s="4" t="str">
        <f t="shared" si="3"/>
        <v/>
      </c>
      <c r="G14" s="4" t="str">
        <f t="shared" si="3"/>
        <v/>
      </c>
      <c r="H14" s="4" t="str">
        <f t="shared" si="3"/>
        <v/>
      </c>
      <c r="I14" s="4" t="str">
        <f t="shared" si="3"/>
        <v/>
      </c>
      <c r="J14" s="4" t="str">
        <f t="shared" si="3"/>
        <v/>
      </c>
      <c r="K14" s="4" t="str">
        <f t="shared" si="3"/>
        <v/>
      </c>
      <c r="L14" s="4" t="str">
        <f t="shared" si="3"/>
        <v/>
      </c>
      <c r="M14" s="4" t="str">
        <f t="shared" si="3"/>
        <v/>
      </c>
      <c r="N14" s="4" t="str">
        <f t="shared" si="3"/>
        <v/>
      </c>
    </row>
    <row r="15" spans="1:21" ht="30" customHeight="1" x14ac:dyDescent="0.25">
      <c r="A15" s="21" t="s">
        <v>44</v>
      </c>
      <c r="B15" s="4" t="str">
        <f>IFERROR((B5+B6)/$B$19-1,"")</f>
        <v/>
      </c>
      <c r="C15" s="4" t="str">
        <f t="shared" ref="C15:M15" si="4">IFERROR((C5+C6)/$B$19-1,"")</f>
        <v/>
      </c>
      <c r="D15" s="4" t="str">
        <f t="shared" si="4"/>
        <v/>
      </c>
      <c r="E15" s="4" t="str">
        <f t="shared" si="4"/>
        <v/>
      </c>
      <c r="F15" s="4" t="str">
        <f t="shared" si="4"/>
        <v/>
      </c>
      <c r="G15" s="4" t="str">
        <f t="shared" si="4"/>
        <v/>
      </c>
      <c r="H15" s="4" t="str">
        <f t="shared" si="4"/>
        <v/>
      </c>
      <c r="I15" s="4" t="str">
        <f t="shared" si="4"/>
        <v/>
      </c>
      <c r="J15" s="4" t="str">
        <f t="shared" si="4"/>
        <v/>
      </c>
      <c r="K15" s="4" t="str">
        <f t="shared" si="4"/>
        <v/>
      </c>
      <c r="L15" s="4" t="str">
        <f t="shared" si="4"/>
        <v/>
      </c>
      <c r="M15" s="4" t="str">
        <f t="shared" si="4"/>
        <v/>
      </c>
      <c r="N15" s="4"/>
    </row>
    <row r="16" spans="1:21" ht="30" customHeight="1" x14ac:dyDescent="0.25">
      <c r="A16" s="21" t="s">
        <v>45</v>
      </c>
      <c r="B16" s="4" t="str">
        <f>IFERROR(B7/$B$19-1,"")</f>
        <v/>
      </c>
      <c r="C16" s="4" t="str">
        <f t="shared" ref="C16:M16" si="5">IFERROR(C7/$B$19-1,"")</f>
        <v/>
      </c>
      <c r="D16" s="4" t="str">
        <f t="shared" si="5"/>
        <v/>
      </c>
      <c r="E16" s="4" t="str">
        <f t="shared" si="5"/>
        <v/>
      </c>
      <c r="F16" s="4" t="str">
        <f t="shared" si="5"/>
        <v/>
      </c>
      <c r="G16" s="4" t="str">
        <f t="shared" si="5"/>
        <v/>
      </c>
      <c r="H16" s="4" t="str">
        <f t="shared" si="5"/>
        <v/>
      </c>
      <c r="I16" s="4" t="str">
        <f t="shared" si="5"/>
        <v/>
      </c>
      <c r="J16" s="4" t="str">
        <f t="shared" si="5"/>
        <v/>
      </c>
      <c r="K16" s="4" t="str">
        <f t="shared" si="5"/>
        <v/>
      </c>
      <c r="L16" s="4" t="str">
        <f t="shared" si="5"/>
        <v/>
      </c>
      <c r="M16" s="4" t="str">
        <f t="shared" si="5"/>
        <v/>
      </c>
      <c r="N16" s="4"/>
    </row>
    <row r="17" spans="1:14" ht="9.9499999999999993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ht="30" customHeight="1" x14ac:dyDescent="0.25">
      <c r="A18" s="22" t="s">
        <v>25</v>
      </c>
      <c r="B18" s="36"/>
      <c r="C18" s="36"/>
      <c r="D18" s="8" t="s">
        <v>13</v>
      </c>
      <c r="E18" s="7"/>
      <c r="F18" s="7"/>
      <c r="G18" s="7"/>
      <c r="H18" s="39" t="s">
        <v>35</v>
      </c>
      <c r="I18" s="39"/>
      <c r="J18" s="39"/>
      <c r="K18" s="39"/>
      <c r="L18" s="39"/>
      <c r="M18" s="39"/>
      <c r="N18" s="39"/>
    </row>
    <row r="19" spans="1:14" ht="30" customHeight="1" x14ac:dyDescent="0.25">
      <c r="A19" s="23" t="s">
        <v>26</v>
      </c>
      <c r="B19" s="36"/>
      <c r="C19" s="36"/>
      <c r="D19" s="9"/>
      <c r="E19" s="24" t="s">
        <v>36</v>
      </c>
      <c r="F19" s="6"/>
      <c r="G19" s="5"/>
      <c r="H19" s="37" t="s">
        <v>46</v>
      </c>
      <c r="I19" s="38"/>
      <c r="J19" s="38"/>
      <c r="K19" s="38"/>
      <c r="L19" s="38"/>
      <c r="M19" s="38"/>
      <c r="N19" s="38"/>
    </row>
    <row r="20" spans="1:14" ht="30" customHeight="1" x14ac:dyDescent="0.25">
      <c r="A20" s="23" t="s">
        <v>14</v>
      </c>
      <c r="B20" s="36"/>
      <c r="C20" s="36"/>
      <c r="D20" s="8">
        <f>D19</f>
        <v>0</v>
      </c>
      <c r="E20" s="31" t="s">
        <v>43</v>
      </c>
      <c r="F20" s="30"/>
      <c r="G20" s="30"/>
      <c r="H20" s="38"/>
      <c r="I20" s="38"/>
      <c r="J20" s="38"/>
      <c r="K20" s="38"/>
      <c r="L20" s="38"/>
      <c r="M20" s="38"/>
      <c r="N20" s="38"/>
    </row>
    <row r="21" spans="1:14" ht="30" customHeight="1" x14ac:dyDescent="0.25">
      <c r="A21" s="22" t="s">
        <v>15</v>
      </c>
      <c r="B21" s="40">
        <f>B18*B20</f>
        <v>0</v>
      </c>
      <c r="C21" s="40"/>
      <c r="D21" s="8" t="s">
        <v>16</v>
      </c>
      <c r="E21" s="32"/>
      <c r="F21" s="30"/>
      <c r="G21" s="30"/>
      <c r="H21" s="38"/>
      <c r="I21" s="38"/>
      <c r="J21" s="38"/>
      <c r="K21" s="38"/>
      <c r="L21" s="38"/>
      <c r="M21" s="38"/>
      <c r="N21" s="38"/>
    </row>
    <row r="22" spans="1:14" ht="30" customHeight="1" x14ac:dyDescent="0.25">
      <c r="A22" s="23" t="s">
        <v>21</v>
      </c>
      <c r="B22" s="36"/>
      <c r="C22" s="36"/>
      <c r="D22" s="8">
        <f>D19</f>
        <v>0</v>
      </c>
      <c r="E22" s="31" t="s">
        <v>43</v>
      </c>
      <c r="F22" s="30"/>
      <c r="G22" s="30"/>
      <c r="H22" s="38"/>
      <c r="I22" s="38"/>
      <c r="J22" s="38"/>
      <c r="K22" s="38"/>
      <c r="L22" s="38"/>
      <c r="M22" s="38"/>
      <c r="N22" s="38"/>
    </row>
    <row r="23" spans="1:14" ht="30" customHeight="1" x14ac:dyDescent="0.25">
      <c r="A23" s="22" t="s">
        <v>22</v>
      </c>
      <c r="B23" s="40">
        <f>B18*B22</f>
        <v>0</v>
      </c>
      <c r="C23" s="40"/>
      <c r="D23" s="8" t="s">
        <v>16</v>
      </c>
      <c r="E23" s="30"/>
      <c r="F23" s="30"/>
      <c r="G23" s="30"/>
      <c r="H23" s="38"/>
      <c r="I23" s="38"/>
      <c r="J23" s="38"/>
      <c r="K23" s="38"/>
      <c r="L23" s="38"/>
      <c r="M23" s="38"/>
      <c r="N23" s="38"/>
    </row>
  </sheetData>
  <sheetProtection algorithmName="SHA-512" hashValue="xgD/+K1h4CUtNLomIebsTiAQJQB1C5EpYXQzi9251FyoCdnvUtW9TrJ2MuOHLlch2ur3xZziBIUumpu/Lg4I6g==" saltValue="Bu1EJ9mUs7fNVqhIyC/Ltg==" spinCount="100000" sheet="1" objects="1" scenarios="1" selectLockedCells="1"/>
  <mergeCells count="17">
    <mergeCell ref="Q8:U8"/>
    <mergeCell ref="Q9:U9"/>
    <mergeCell ref="Q10:U10"/>
    <mergeCell ref="P4:U6"/>
    <mergeCell ref="Q7:U7"/>
    <mergeCell ref="B20:C20"/>
    <mergeCell ref="B19:C19"/>
    <mergeCell ref="H19:N23"/>
    <mergeCell ref="H18:N18"/>
    <mergeCell ref="B22:C22"/>
    <mergeCell ref="B23:C23"/>
    <mergeCell ref="B21:C21"/>
    <mergeCell ref="B2:G2"/>
    <mergeCell ref="I2:N2"/>
    <mergeCell ref="A1:N1"/>
    <mergeCell ref="A17:N17"/>
    <mergeCell ref="B18:C18"/>
  </mergeCells>
  <phoneticPr fontId="6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Li 李子君  (Synmosa)</dc:creator>
  <cp:lastModifiedBy>Joanne Li 李子君  (Synmosa)</cp:lastModifiedBy>
  <cp:lastPrinted>2025-08-29T03:53:06Z</cp:lastPrinted>
  <dcterms:created xsi:type="dcterms:W3CDTF">2025-08-12T02:03:15Z</dcterms:created>
  <dcterms:modified xsi:type="dcterms:W3CDTF">2025-08-29T03:58:05Z</dcterms:modified>
</cp:coreProperties>
</file>